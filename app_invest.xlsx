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excel_dio\"/>
    </mc:Choice>
  </mc:AlternateContent>
  <bookViews>
    <workbookView xWindow="0" yWindow="0" windowWidth="20490" windowHeight="7650" tabRatio="0"/>
  </bookViews>
  <sheets>
    <sheet name="API" sheetId="1" r:id="rId1"/>
    <sheet name="Chave" sheetId="2" r:id="rId2"/>
  </sheets>
  <definedNames>
    <definedName name="aporte">API!$D$17</definedName>
    <definedName name="patrimonio">API!$D$20</definedName>
    <definedName name="qtd_anos">API!$D$18</definedName>
    <definedName name="rendimento_carteira">API!$D$13</definedName>
    <definedName name="salario">API!$D$12</definedName>
    <definedName name="sugestao_investimento">API!$D$14</definedName>
    <definedName name="taxa_mensal">API!$D$19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C37" i="1" l="1"/>
  <c r="C39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C41" i="1" s="1"/>
  <c r="A5" i="2"/>
  <c r="A6" i="2"/>
  <c r="A7" i="2"/>
  <c r="A8" i="2"/>
  <c r="A3" i="2"/>
  <c r="C38" i="1" s="1"/>
  <c r="C40" i="1" l="1"/>
  <c r="C36" i="1"/>
  <c r="C33" i="1" l="1"/>
  <c r="D20" i="1"/>
  <c r="D21" i="1" s="1"/>
  <c r="D14" i="1"/>
  <c r="C25" i="1"/>
  <c r="D25" i="1" s="1"/>
  <c r="C26" i="1"/>
  <c r="C27" i="1"/>
  <c r="D27" i="1" s="1"/>
  <c r="C28" i="1"/>
  <c r="D28" i="1" s="1"/>
  <c r="C24" i="1"/>
  <c r="D24" i="1" s="1"/>
  <c r="D38" i="1" l="1"/>
  <c r="D37" i="1"/>
  <c r="D39" i="1"/>
  <c r="D36" i="1"/>
  <c r="D41" i="1"/>
  <c r="D40" i="1"/>
  <c r="D42" i="1" l="1"/>
</calcChain>
</file>

<file path=xl/sharedStrings.xml><?xml version="1.0" encoding="utf-8"?>
<sst xmlns="http://schemas.openxmlformats.org/spreadsheetml/2006/main" count="69" uniqueCount="34">
  <si>
    <t>Taxa de Rendimento Mensal ?</t>
  </si>
  <si>
    <t>Patrimônio Acumulado ?</t>
  </si>
  <si>
    <t>Dividendos Mensais ?</t>
  </si>
  <si>
    <t>INVESTIMENTO MENSAL</t>
  </si>
  <si>
    <t>CENÁRIOS</t>
  </si>
  <si>
    <t>Quanto em 30 Anos ?</t>
  </si>
  <si>
    <t>Quanto em 20 Anos ?</t>
  </si>
  <si>
    <t>Quanto em 10 Anos ?</t>
  </si>
  <si>
    <t>Quanto em 5 Anos ?</t>
  </si>
  <si>
    <t>Quanto em 2 Anos ?</t>
  </si>
  <si>
    <t>Dividendo</t>
  </si>
  <si>
    <t>CONFIGURAÇÕES</t>
  </si>
  <si>
    <t>Rendimento Carteira</t>
  </si>
  <si>
    <t xml:space="preserve">Salário </t>
  </si>
  <si>
    <t>Sugestão de Investimento (30%)</t>
  </si>
  <si>
    <t>PERFIL</t>
  </si>
  <si>
    <t>MODERADO</t>
  </si>
  <si>
    <t>TIPOS DE FII</t>
  </si>
  <si>
    <t>Percentual Sugerido</t>
  </si>
  <si>
    <t>Valores</t>
  </si>
  <si>
    <t>AGRESSIVO</t>
  </si>
  <si>
    <t>CONSERVADOR</t>
  </si>
  <si>
    <t>PAPEL</t>
  </si>
  <si>
    <t>TIJOLO</t>
  </si>
  <si>
    <t>HÍBRIDOS</t>
  </si>
  <si>
    <t>FOFs</t>
  </si>
  <si>
    <t>DESENVOLVIMENTO</t>
  </si>
  <si>
    <t>HOTELARIAS</t>
  </si>
  <si>
    <t>TIPO DE FII</t>
  </si>
  <si>
    <t>CHAVE</t>
  </si>
  <si>
    <t>%</t>
  </si>
  <si>
    <t>Quanto Investir Por Mês ? &gt;</t>
  </si>
  <si>
    <t>Por Quantos Anos ? &gt;</t>
  </si>
  <si>
    <t>VALOR A SER INVESTIDO POR MÊS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</si>
</sst>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R$&quot;\ #,##0.00;[Red]\-&quot;R$&quot;\ #,##0.00"/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Segoe UI Semibold"/>
      <family val="2"/>
    </font>
    <font>
      <sz val="11"/>
      <color theme="1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sz val="16"/>
      <color theme="1"/>
      <name val="Segoe UI Semibold"/>
      <family val="2"/>
    </font>
    <font>
      <b/>
      <sz val="11"/>
      <color theme="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Gadugi"/>
      <family val="2"/>
    </font>
    <font>
      <sz val="11"/>
      <color theme="0"/>
      <name val="Gadugi"/>
      <family val="2"/>
    </font>
    <font>
      <sz val="11"/>
      <color theme="9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6666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auto="1"/>
      </right>
      <top/>
      <bottom style="thin">
        <color theme="0" tint="-0.14996795556505021"/>
      </bottom>
      <diagonal/>
    </border>
    <border>
      <left style="medium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auto="1"/>
      </left>
      <right style="thin">
        <color theme="0" tint="-0.14996795556505021"/>
      </right>
      <top style="thin">
        <color theme="0" tint="-0.14996795556505021"/>
      </top>
      <bottom style="medium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auto="1"/>
      </bottom>
      <diagonal/>
    </border>
    <border>
      <left style="thin">
        <color theme="0" tint="-0.14996795556505021"/>
      </left>
      <right style="medium">
        <color auto="1"/>
      </right>
      <top style="thin">
        <color theme="0" tint="-0.14996795556505021"/>
      </top>
      <bottom style="medium">
        <color auto="1"/>
      </bottom>
      <diagonal/>
    </border>
    <border>
      <left style="medium">
        <color auto="1"/>
      </left>
      <right style="dashed">
        <color theme="0"/>
      </right>
      <top/>
      <bottom style="dashed">
        <color theme="0"/>
      </bottom>
      <diagonal/>
    </border>
    <border>
      <left style="dashed">
        <color theme="0"/>
      </left>
      <right style="dashed">
        <color theme="0"/>
      </right>
      <top/>
      <bottom style="dashed">
        <color theme="0"/>
      </bottom>
      <diagonal/>
    </border>
    <border>
      <left style="dashed">
        <color theme="0"/>
      </left>
      <right style="medium">
        <color auto="1"/>
      </right>
      <top/>
      <bottom style="dashed">
        <color theme="0"/>
      </bottom>
      <diagonal/>
    </border>
    <border>
      <left style="medium">
        <color auto="1"/>
      </left>
      <right style="dashed">
        <color theme="0"/>
      </right>
      <top style="dashed">
        <color theme="0"/>
      </top>
      <bottom style="medium">
        <color auto="1"/>
      </bottom>
      <diagonal/>
    </border>
    <border>
      <left style="dashed">
        <color theme="0"/>
      </left>
      <right style="dashed">
        <color theme="0"/>
      </right>
      <top style="dashed">
        <color theme="0"/>
      </top>
      <bottom style="medium">
        <color auto="1"/>
      </bottom>
      <diagonal/>
    </border>
    <border>
      <left style="dashed">
        <color theme="0"/>
      </left>
      <right style="medium">
        <color auto="1"/>
      </right>
      <top style="dashed">
        <color theme="0"/>
      </top>
      <bottom style="medium">
        <color auto="1"/>
      </bottom>
      <diagonal/>
    </border>
    <border>
      <left/>
      <right style="thin">
        <color theme="6" tint="0.79998168889431442"/>
      </right>
      <top/>
      <bottom style="thin">
        <color theme="6" tint="0.79998168889431442"/>
      </bottom>
      <diagonal/>
    </border>
    <border>
      <left style="thin">
        <color theme="6" tint="0.79998168889431442"/>
      </left>
      <right style="thin">
        <color theme="6" tint="0.79998168889431442"/>
      </right>
      <top/>
      <bottom style="thin">
        <color theme="6" tint="0.79998168889431442"/>
      </bottom>
      <diagonal/>
    </border>
    <border>
      <left style="thin">
        <color theme="6" tint="0.79998168889431442"/>
      </left>
      <right/>
      <top/>
      <bottom style="thin">
        <color theme="6" tint="0.79998168889431442"/>
      </bottom>
      <diagonal/>
    </border>
    <border>
      <left/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 tint="0.79998168889431442"/>
      </left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/>
      <bottom style="medium">
        <color rgb="FF006666"/>
      </bottom>
      <diagonal/>
    </border>
    <border>
      <left/>
      <right/>
      <top/>
      <bottom style="thick">
        <color rgb="FF006666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1" fillId="4" borderId="0" applyNumberFormat="0" applyBorder="0" applyAlignment="0" applyProtection="0"/>
  </cellStyleXfs>
  <cellXfs count="58">
    <xf numFmtId="0" fontId="0" fillId="0" borderId="0" xfId="0"/>
    <xf numFmtId="0" fontId="1" fillId="0" borderId="0" xfId="0" applyFont="1"/>
    <xf numFmtId="164" fontId="7" fillId="0" borderId="6" xfId="0" applyNumberFormat="1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10" fontId="7" fillId="0" borderId="9" xfId="0" applyNumberFormat="1" applyFont="1" applyBorder="1" applyAlignment="1">
      <alignment horizontal="center"/>
    </xf>
    <xf numFmtId="8" fontId="7" fillId="2" borderId="9" xfId="0" applyNumberFormat="1" applyFont="1" applyFill="1" applyBorder="1" applyAlignment="1">
      <alignment horizontal="center"/>
    </xf>
    <xf numFmtId="8" fontId="7" fillId="2" borderId="12" xfId="0" applyNumberFormat="1" applyFont="1" applyFill="1" applyBorder="1" applyAlignment="1">
      <alignment horizontal="center"/>
    </xf>
    <xf numFmtId="164" fontId="3" fillId="0" borderId="6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  <xf numFmtId="0" fontId="9" fillId="3" borderId="0" xfId="0" applyFont="1" applyFill="1" applyAlignment="1">
      <alignment horizontal="left" vertical="center" indent="1"/>
    </xf>
    <xf numFmtId="164" fontId="7" fillId="3" borderId="0" xfId="0" applyNumberFormat="1" applyFont="1" applyFill="1" applyAlignment="1">
      <alignment horizontal="center" vertical="center"/>
    </xf>
    <xf numFmtId="0" fontId="0" fillId="3" borderId="0" xfId="0" applyFill="1"/>
    <xf numFmtId="0" fontId="10" fillId="7" borderId="0" xfId="0" applyFont="1" applyFill="1" applyAlignment="1">
      <alignment horizontal="center"/>
    </xf>
    <xf numFmtId="164" fontId="1" fillId="7" borderId="0" xfId="2" applyNumberFormat="1" applyFill="1" applyAlignment="1">
      <alignment horizontal="center" vertical="center"/>
    </xf>
    <xf numFmtId="0" fontId="0" fillId="0" borderId="19" xfId="0" applyBorder="1" applyAlignment="1">
      <alignment horizontal="left" vertical="center" indent="2"/>
    </xf>
    <xf numFmtId="9" fontId="0" fillId="0" borderId="20" xfId="1" applyFon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0" fontId="0" fillId="0" borderId="22" xfId="0" applyBorder="1" applyAlignment="1">
      <alignment horizontal="left" vertical="center" indent="2"/>
    </xf>
    <xf numFmtId="9" fontId="0" fillId="0" borderId="23" xfId="1" applyFon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0" fontId="11" fillId="4" borderId="0" xfId="2" applyFont="1" applyBorder="1" applyAlignment="1">
      <alignment horizontal="left" vertical="center" indent="2"/>
    </xf>
    <xf numFmtId="0" fontId="11" fillId="4" borderId="0" xfId="2" applyFont="1" applyAlignment="1">
      <alignment horizontal="center"/>
    </xf>
    <xf numFmtId="0" fontId="11" fillId="4" borderId="0" xfId="2" applyFont="1"/>
    <xf numFmtId="0" fontId="6" fillId="8" borderId="3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left" vertical="center" indent="2"/>
    </xf>
    <xf numFmtId="8" fontId="4" fillId="5" borderId="14" xfId="0" applyNumberFormat="1" applyFont="1" applyFill="1" applyBorder="1"/>
    <xf numFmtId="164" fontId="3" fillId="5" borderId="15" xfId="0" applyNumberFormat="1" applyFont="1" applyFill="1" applyBorder="1" applyAlignment="1">
      <alignment horizontal="center"/>
    </xf>
    <xf numFmtId="0" fontId="4" fillId="5" borderId="16" xfId="0" applyFont="1" applyFill="1" applyBorder="1" applyAlignment="1">
      <alignment horizontal="left" vertical="center" indent="2"/>
    </xf>
    <xf numFmtId="8" fontId="4" fillId="5" borderId="17" xfId="0" applyNumberFormat="1" applyFont="1" applyFill="1" applyBorder="1"/>
    <xf numFmtId="164" fontId="3" fillId="5" borderId="18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11" fillId="0" borderId="0" xfId="0" applyFont="1" applyAlignment="1">
      <alignment horizontal="left" indent="1"/>
    </xf>
    <xf numFmtId="0" fontId="11" fillId="0" borderId="0" xfId="0" applyFont="1" applyAlignment="1">
      <alignment horizontal="center"/>
    </xf>
    <xf numFmtId="9" fontId="11" fillId="0" borderId="0" xfId="0" applyNumberFormat="1" applyFont="1" applyAlignment="1">
      <alignment horizontal="center"/>
    </xf>
    <xf numFmtId="0" fontId="11" fillId="0" borderId="25" xfId="0" applyFont="1" applyBorder="1" applyAlignment="1">
      <alignment horizontal="left" indent="1"/>
    </xf>
    <xf numFmtId="0" fontId="11" fillId="0" borderId="25" xfId="0" applyFont="1" applyBorder="1" applyAlignment="1">
      <alignment horizontal="center"/>
    </xf>
    <xf numFmtId="9" fontId="11" fillId="0" borderId="25" xfId="0" applyNumberFormat="1" applyFont="1" applyBorder="1" applyAlignment="1">
      <alignment horizontal="center"/>
    </xf>
    <xf numFmtId="0" fontId="11" fillId="0" borderId="26" xfId="0" applyFont="1" applyBorder="1" applyAlignment="1">
      <alignment horizontal="left" indent="1"/>
    </xf>
    <xf numFmtId="0" fontId="11" fillId="0" borderId="26" xfId="0" applyFont="1" applyBorder="1" applyAlignment="1">
      <alignment horizontal="center"/>
    </xf>
    <xf numFmtId="9" fontId="11" fillId="0" borderId="26" xfId="0" applyNumberFormat="1" applyFont="1" applyBorder="1" applyAlignment="1">
      <alignment horizontal="center"/>
    </xf>
    <xf numFmtId="164" fontId="3" fillId="3" borderId="12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 indent="2"/>
    </xf>
    <xf numFmtId="0" fontId="4" fillId="3" borderId="5" xfId="0" applyFont="1" applyFill="1" applyBorder="1" applyAlignment="1">
      <alignment horizontal="left" vertical="center" indent="2"/>
    </xf>
    <xf numFmtId="0" fontId="4" fillId="3" borderId="7" xfId="0" applyFont="1" applyFill="1" applyBorder="1" applyAlignment="1">
      <alignment horizontal="left" vertical="center" indent="2"/>
    </xf>
    <xf numFmtId="0" fontId="4" fillId="3" borderId="8" xfId="0" applyFont="1" applyFill="1" applyBorder="1" applyAlignment="1">
      <alignment horizontal="left" vertical="center" indent="2"/>
    </xf>
    <xf numFmtId="0" fontId="4" fillId="3" borderId="10" xfId="0" applyFont="1" applyFill="1" applyBorder="1" applyAlignment="1">
      <alignment horizontal="left" vertical="center" indent="2"/>
    </xf>
    <xf numFmtId="0" fontId="4" fillId="3" borderId="11" xfId="0" applyFont="1" applyFill="1" applyBorder="1" applyAlignment="1">
      <alignment horizontal="left" vertical="center" indent="2"/>
    </xf>
    <xf numFmtId="0" fontId="2" fillId="8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left" vertical="center" indent="2"/>
    </xf>
    <xf numFmtId="0" fontId="4" fillId="6" borderId="5" xfId="0" applyFont="1" applyFill="1" applyBorder="1" applyAlignment="1">
      <alignment horizontal="left" vertical="center" indent="2"/>
    </xf>
    <xf numFmtId="0" fontId="4" fillId="6" borderId="7" xfId="0" applyFont="1" applyFill="1" applyBorder="1" applyAlignment="1">
      <alignment horizontal="left" vertical="center" indent="2"/>
    </xf>
    <xf numFmtId="0" fontId="4" fillId="6" borderId="8" xfId="0" applyFont="1" applyFill="1" applyBorder="1" applyAlignment="1">
      <alignment horizontal="left" vertical="center" indent="2"/>
    </xf>
    <xf numFmtId="0" fontId="5" fillId="2" borderId="7" xfId="0" applyFont="1" applyFill="1" applyBorder="1" applyAlignment="1">
      <alignment horizontal="left" vertical="center" indent="2"/>
    </xf>
    <xf numFmtId="0" fontId="5" fillId="2" borderId="8" xfId="0" applyFont="1" applyFill="1" applyBorder="1" applyAlignment="1">
      <alignment horizontal="left" vertical="center" indent="2"/>
    </xf>
    <xf numFmtId="0" fontId="5" fillId="2" borderId="10" xfId="0" applyFont="1" applyFill="1" applyBorder="1" applyAlignment="1">
      <alignment horizontal="left" vertical="center" indent="2"/>
    </xf>
    <xf numFmtId="0" fontId="5" fillId="2" borderId="11" xfId="0" applyFont="1" applyFill="1" applyBorder="1" applyAlignment="1">
      <alignment horizontal="left" vertical="center" indent="2"/>
    </xf>
  </cellXfs>
  <cellStyles count="3">
    <cellStyle name="60% - Ênfase6" xfId="2" builtinId="52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00CC99"/>
      <color rgb="FF009999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CC99"/>
            </a:solidFill>
            <a:ln>
              <a:noFill/>
            </a:ln>
            <a:effectLst/>
          </c:spPr>
          <c:invertIfNegative val="0"/>
          <c:cat>
            <c:strRef>
              <c:f>API!$B$24:$B$28</c:f>
              <c:strCache>
                <c:ptCount val="5"/>
                <c:pt idx="0">
                  <c:v>Quanto em 2 Anos ?</c:v>
                </c:pt>
                <c:pt idx="1">
                  <c:v>Quanto em 5 Anos ?</c:v>
                </c:pt>
                <c:pt idx="2">
                  <c:v>Quanto em 10 Anos ?</c:v>
                </c:pt>
                <c:pt idx="3">
                  <c:v>Quanto em 20 Anos ?</c:v>
                </c:pt>
                <c:pt idx="4">
                  <c:v>Quanto em 30 Anos ?</c:v>
                </c:pt>
              </c:strCache>
            </c:strRef>
          </c:cat>
          <c:val>
            <c:numRef>
              <c:f>API!$C$24:$C$28</c:f>
              <c:numCache>
                <c:formatCode>"R$"#,##0.00_);[Red]\("R$"#,##0.00\)</c:formatCode>
                <c:ptCount val="5"/>
                <c:pt idx="0">
                  <c:v>19059.339108351651</c:v>
                </c:pt>
                <c:pt idx="1">
                  <c:v>58643.83979894135</c:v>
                </c:pt>
                <c:pt idx="2">
                  <c:v>170298.94877112054</c:v>
                </c:pt>
                <c:pt idx="3">
                  <c:v>787638.8800679564</c:v>
                </c:pt>
                <c:pt idx="4">
                  <c:v>3025518.7585033001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4-4D35-8B33-91881EDE8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9915535"/>
        <c:axId val="1359909711"/>
      </c:barChart>
      <c:catAx>
        <c:axId val="13599155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59909711"/>
        <c:crosses val="autoZero"/>
        <c:auto val="1"/>
        <c:lblAlgn val="ctr"/>
        <c:lblOffset val="100"/>
        <c:noMultiLvlLbl val="0"/>
      </c:catAx>
      <c:valAx>
        <c:axId val="1359909711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35991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354568660174976E-2"/>
          <c:y val="5.627705627705628E-2"/>
          <c:w val="0.95329086267965002"/>
          <c:h val="0.76927698490813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API!$B$36</c:f>
              <c:strCache>
                <c:ptCount val="1"/>
                <c:pt idx="0">
                  <c:v>PAPEL</c:v>
                </c:pt>
              </c:strCache>
            </c:strRef>
          </c:tx>
          <c:spPr>
            <a:solidFill>
              <a:srgbClr val="0066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API!$D$36</c:f>
              <c:numCache>
                <c:formatCode>"R$"\ #,##0.00</c:formatCode>
                <c:ptCount val="1"/>
                <c:pt idx="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6-4846-B1CD-D627EEB55555}"/>
            </c:ext>
          </c:extLst>
        </c:ser>
        <c:ser>
          <c:idx val="1"/>
          <c:order val="1"/>
          <c:tx>
            <c:strRef>
              <c:f>API!$B$37</c:f>
              <c:strCache>
                <c:ptCount val="1"/>
                <c:pt idx="0">
                  <c:v>TIJOLO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API!$D$37</c:f>
              <c:numCache>
                <c:formatCode>"R$"\ #,##0.00</c:formatCode>
                <c:ptCount val="1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86-4846-B1CD-D627EEB55555}"/>
            </c:ext>
          </c:extLst>
        </c:ser>
        <c:ser>
          <c:idx val="2"/>
          <c:order val="2"/>
          <c:tx>
            <c:strRef>
              <c:f>API!$B$38</c:f>
              <c:strCache>
                <c:ptCount val="1"/>
                <c:pt idx="0">
                  <c:v>HÍBRIDOS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API!$D$38</c:f>
              <c:numCache>
                <c:formatCode>"R$"\ #,##0.00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86-4846-B1CD-D627EEB55555}"/>
            </c:ext>
          </c:extLst>
        </c:ser>
        <c:ser>
          <c:idx val="3"/>
          <c:order val="3"/>
          <c:tx>
            <c:strRef>
              <c:f>API!$B$39</c:f>
              <c:strCache>
                <c:ptCount val="1"/>
                <c:pt idx="0">
                  <c:v>FOFs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API!$D$39</c:f>
              <c:numCache>
                <c:formatCode>"R$"\ #,##0.00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86-4846-B1CD-D627EEB55555}"/>
            </c:ext>
          </c:extLst>
        </c:ser>
        <c:ser>
          <c:idx val="4"/>
          <c:order val="4"/>
          <c:tx>
            <c:strRef>
              <c:f>API!$B$40</c:f>
              <c:strCache>
                <c:ptCount val="1"/>
                <c:pt idx="0">
                  <c:v>DESENVOLVIMENTO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API!$D$40</c:f>
              <c:numCache>
                <c:formatCode>"R$"\ #,##0.00</c:formatCode>
                <c:ptCount val="1"/>
                <c:pt idx="0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86-4846-B1CD-D627EEB55555}"/>
            </c:ext>
          </c:extLst>
        </c:ser>
        <c:ser>
          <c:idx val="5"/>
          <c:order val="5"/>
          <c:tx>
            <c:strRef>
              <c:f>API!$B$41</c:f>
              <c:strCache>
                <c:ptCount val="1"/>
                <c:pt idx="0">
                  <c:v>HOTELARIAS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API!$D$41</c:f>
              <c:numCache>
                <c:formatCode>"R$"\ #,##0.00</c:formatCode>
                <c:ptCount val="1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86-4846-B1CD-D627EEB555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126005631"/>
        <c:axId val="1125986495"/>
      </c:barChart>
      <c:catAx>
        <c:axId val="1126005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5986495"/>
        <c:crosses val="autoZero"/>
        <c:auto val="1"/>
        <c:lblAlgn val="ctr"/>
        <c:lblOffset val="100"/>
        <c:noMultiLvlLbl val="0"/>
      </c:catAx>
      <c:valAx>
        <c:axId val="1125986495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112600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4462520842209354E-3"/>
          <c:y val="0.21392320404393894"/>
          <c:w val="0.74781911636045495"/>
          <c:h val="0.54574472635365023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0666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A045-4869-93A4-2F24E81B618F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045-4869-93A4-2F24E81B618F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C-A045-4869-93A4-2F24E81B618F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E-A045-4869-93A4-2F24E81B618F}"/>
              </c:ext>
            </c:extLst>
          </c:dPt>
          <c:dPt>
            <c:idx val="4"/>
            <c:bubble3D val="0"/>
            <c:spPr>
              <a:solidFill>
                <a:schemeClr val="accent5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0-A045-4869-93A4-2F24E81B618F}"/>
              </c:ext>
            </c:extLst>
          </c:dPt>
          <c:dPt>
            <c:idx val="5"/>
            <c:bubble3D val="0"/>
            <c:spPr>
              <a:solidFill>
                <a:srgbClr val="009999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2-A045-4869-93A4-2F24E81B61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API!$B$36:$B$41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API!$C$36:$C$41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5-4869-93A4-2F24E81B618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07/relationships/hdphoto" Target="../media/hdphoto1.wdp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80962</xdr:colOff>
      <xdr:row>22</xdr:row>
      <xdr:rowOff>19050</xdr:rowOff>
    </xdr:from>
    <xdr:to>
      <xdr:col>1</xdr:col>
      <xdr:colOff>1485900</xdr:colOff>
      <xdr:row>22</xdr:row>
      <xdr:rowOff>381000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3143250</xdr:colOff>
      <xdr:row>43</xdr:row>
      <xdr:rowOff>19050</xdr:rowOff>
    </xdr:from>
    <xdr:to>
      <xdr:col>4</xdr:col>
      <xdr:colOff>9525</xdr:colOff>
      <xdr:row>56</xdr:row>
      <xdr:rowOff>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514350</xdr:colOff>
      <xdr:row>43</xdr:row>
      <xdr:rowOff>0</xdr:rowOff>
    </xdr:from>
    <xdr:to>
      <xdr:col>2</xdr:col>
      <xdr:colOff>1209675</xdr:colOff>
      <xdr:row>56</xdr:row>
      <xdr:rowOff>95250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428625</xdr:colOff>
      <xdr:row>0</xdr:row>
      <xdr:rowOff>161925</xdr:rowOff>
    </xdr:from>
    <xdr:to>
      <xdr:col>4</xdr:col>
      <xdr:colOff>552450</xdr:colOff>
      <xdr:row>9</xdr:row>
      <xdr:rowOff>9525</xdr:rowOff>
    </xdr:to>
    <xdr:grpSp>
      <xdr:nvGrpSpPr>
        <xdr:cNvPr id="6" name="Agrupar 5"/>
        <xdr:cNvGrpSpPr/>
      </xdr:nvGrpSpPr>
      <xdr:grpSpPr>
        <a:xfrm>
          <a:off x="428625" y="161925"/>
          <a:ext cx="6981825" cy="1562100"/>
          <a:chOff x="1476103" y="1389573"/>
          <a:chExt cx="9721780" cy="2183621"/>
        </a:xfrm>
      </xdr:grpSpPr>
      <xdr:sp macro="" textlink="">
        <xdr:nvSpPr>
          <xdr:cNvPr id="8" name="Retângulo Arredondado 7"/>
          <xdr:cNvSpPr/>
        </xdr:nvSpPr>
        <xdr:spPr>
          <a:xfrm>
            <a:off x="1476103" y="1389573"/>
            <a:ext cx="9721780" cy="2183621"/>
          </a:xfrm>
          <a:prstGeom prst="roundRect">
            <a:avLst>
              <a:gd name="adj" fmla="val 9473"/>
            </a:avLst>
          </a:prstGeom>
          <a:gradFill flip="none" rotWithShape="1">
            <a:gsLst>
              <a:gs pos="19000">
                <a:srgbClr val="008080">
                  <a:lumMod val="65000"/>
                </a:srgbClr>
              </a:gs>
              <a:gs pos="74000">
                <a:srgbClr val="006666"/>
              </a:gs>
              <a:gs pos="48000">
                <a:srgbClr val="006666"/>
              </a:gs>
              <a:gs pos="100000">
                <a:srgbClr val="006666"/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cxnSp macro="">
        <xdr:nvCxnSpPr>
          <xdr:cNvPr id="9" name="Conector reto 8"/>
          <xdr:cNvCxnSpPr/>
        </xdr:nvCxnSpPr>
        <xdr:spPr>
          <a:xfrm flipH="1">
            <a:off x="6091311" y="3402623"/>
            <a:ext cx="4979963" cy="28135"/>
          </a:xfrm>
          <a:prstGeom prst="line">
            <a:avLst/>
          </a:prstGeom>
          <a:ln/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cxnSp macro="">
        <xdr:nvCxnSpPr>
          <xdr:cNvPr id="10" name="Conector reto 9"/>
          <xdr:cNvCxnSpPr/>
        </xdr:nvCxnSpPr>
        <xdr:spPr>
          <a:xfrm flipH="1">
            <a:off x="5979774" y="3453618"/>
            <a:ext cx="4979963" cy="28135"/>
          </a:xfrm>
          <a:prstGeom prst="line">
            <a:avLst/>
          </a:prstGeom>
          <a:ln w="3175"/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cxnSp macro="">
        <xdr:nvCxnSpPr>
          <xdr:cNvPr id="11" name="Conector reto 10"/>
          <xdr:cNvCxnSpPr/>
        </xdr:nvCxnSpPr>
        <xdr:spPr>
          <a:xfrm flipH="1">
            <a:off x="5540328" y="1389573"/>
            <a:ext cx="4979963" cy="28135"/>
          </a:xfrm>
          <a:prstGeom prst="line">
            <a:avLst/>
          </a:prstGeom>
          <a:ln/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cxnSp macro="">
        <xdr:nvCxnSpPr>
          <xdr:cNvPr id="12" name="Conector reto 11"/>
          <xdr:cNvCxnSpPr/>
        </xdr:nvCxnSpPr>
        <xdr:spPr>
          <a:xfrm flipH="1">
            <a:off x="1672509" y="3494941"/>
            <a:ext cx="4979963" cy="28135"/>
          </a:xfrm>
          <a:prstGeom prst="line">
            <a:avLst/>
          </a:prstGeom>
          <a:ln/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sp macro="" textlink="">
        <xdr:nvSpPr>
          <xdr:cNvPr id="13" name="Retângulo Arredondado 12"/>
          <xdr:cNvSpPr/>
        </xdr:nvSpPr>
        <xdr:spPr>
          <a:xfrm rot="10800000">
            <a:off x="1672508" y="1479254"/>
            <a:ext cx="9328970" cy="2002499"/>
          </a:xfrm>
          <a:prstGeom prst="roundRect">
            <a:avLst>
              <a:gd name="adj" fmla="val 9473"/>
            </a:avLst>
          </a:prstGeom>
          <a:gradFill flip="none" rotWithShape="1">
            <a:gsLst>
              <a:gs pos="19000">
                <a:srgbClr val="008080">
                  <a:lumMod val="65000"/>
                </a:srgbClr>
              </a:gs>
              <a:gs pos="61000">
                <a:srgbClr val="006666"/>
              </a:gs>
              <a:gs pos="48000">
                <a:srgbClr val="006666"/>
              </a:gs>
              <a:gs pos="86000">
                <a:srgbClr val="006666"/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14" name="CaixaDeTexto 4"/>
          <xdr:cNvSpPr txBox="1"/>
        </xdr:nvSpPr>
        <xdr:spPr>
          <a:xfrm>
            <a:off x="4447015" y="1709127"/>
            <a:ext cx="5688647" cy="1517883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5400" b="1">
                <a:solidFill>
                  <a:schemeClr val="tx1"/>
                </a:solidFill>
                <a:latin typeface="Bell MT" panose="02020503060305020303" pitchFamily="18" charset="0"/>
              </a:rPr>
              <a:t>KC INVEST</a:t>
            </a:r>
          </a:p>
        </xdr:txBody>
      </xdr:sp>
      <xdr:pic>
        <xdr:nvPicPr>
          <xdr:cNvPr id="15" name="Imagem 14"/>
          <xdr:cNvPicPr>
            <a:picLocks noChangeAspect="1"/>
          </xdr:cNvPicPr>
        </xdr:nvPicPr>
        <xdr:blipFill>
          <a:blip xmlns:r="http://schemas.openxmlformats.org/officeDocument/2006/relationships" r:embed="rId4">
            <a:duotone>
              <a:schemeClr val="bg2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 contrast="4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073023" y="1922163"/>
            <a:ext cx="1400519" cy="849514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K42"/>
  <sheetViews>
    <sheetView showGridLines="0" showRowColHeaders="0" tabSelected="1" workbookViewId="0">
      <selection activeCell="B61" sqref="B61"/>
    </sheetView>
  </sheetViews>
  <sheetFormatPr defaultColWidth="0" defaultRowHeight="15" x14ac:dyDescent="0.25"/>
  <cols>
    <col min="1" max="1" width="13.5703125" customWidth="1"/>
    <col min="2" max="2" width="47.28515625" customWidth="1"/>
    <col min="3" max="3" width="21.85546875" customWidth="1"/>
    <col min="4" max="4" width="20.140625" customWidth="1"/>
    <col min="5" max="5" width="16.140625" customWidth="1"/>
    <col min="6" max="6" width="9.140625" hidden="1" customWidth="1"/>
    <col min="7" max="11" width="0" hidden="1" customWidth="1"/>
    <col min="12" max="16384" width="9.140625" hidden="1"/>
  </cols>
  <sheetData>
    <row r="10" spans="2:4" ht="15.75" thickBot="1" x14ac:dyDescent="0.3"/>
    <row r="11" spans="2:4" ht="30.75" x14ac:dyDescent="0.25">
      <c r="B11" s="41" t="s">
        <v>11</v>
      </c>
      <c r="C11" s="42"/>
      <c r="D11" s="49"/>
    </row>
    <row r="12" spans="2:4" ht="17.25" x14ac:dyDescent="0.25">
      <c r="B12" s="43" t="s">
        <v>13</v>
      </c>
      <c r="C12" s="44"/>
      <c r="D12" s="7">
        <v>2000</v>
      </c>
    </row>
    <row r="13" spans="2:4" ht="17.25" x14ac:dyDescent="0.25">
      <c r="B13" s="45" t="s">
        <v>12</v>
      </c>
      <c r="C13" s="46"/>
      <c r="D13" s="8">
        <v>0.01</v>
      </c>
    </row>
    <row r="14" spans="2:4" ht="18" thickBot="1" x14ac:dyDescent="0.3">
      <c r="B14" s="47" t="s">
        <v>14</v>
      </c>
      <c r="C14" s="48"/>
      <c r="D14" s="40">
        <f>$D$12*30%</f>
        <v>600</v>
      </c>
    </row>
    <row r="15" spans="2:4" ht="15.75" thickBot="1" x14ac:dyDescent="0.3"/>
    <row r="16" spans="2:4" ht="28.5" customHeight="1" x14ac:dyDescent="0.25">
      <c r="B16" s="41" t="s">
        <v>3</v>
      </c>
      <c r="C16" s="42"/>
      <c r="D16" s="49"/>
    </row>
    <row r="17" spans="1:4" ht="17.25" customHeight="1" x14ac:dyDescent="0.3">
      <c r="B17" s="50" t="s">
        <v>31</v>
      </c>
      <c r="C17" s="51"/>
      <c r="D17" s="2">
        <v>700</v>
      </c>
    </row>
    <row r="18" spans="1:4" ht="15" customHeight="1" x14ac:dyDescent="0.3">
      <c r="B18" s="52" t="s">
        <v>32</v>
      </c>
      <c r="C18" s="53"/>
      <c r="D18" s="3">
        <v>5</v>
      </c>
    </row>
    <row r="19" spans="1:4" ht="15" customHeight="1" x14ac:dyDescent="0.3">
      <c r="B19" s="52" t="s">
        <v>0</v>
      </c>
      <c r="C19" s="53"/>
      <c r="D19" s="4">
        <v>1.0789999999999999E-2</v>
      </c>
    </row>
    <row r="20" spans="1:4" ht="15" customHeight="1" x14ac:dyDescent="0.3">
      <c r="B20" s="54" t="s">
        <v>1</v>
      </c>
      <c r="C20" s="55"/>
      <c r="D20" s="5">
        <f>FV(taxa_mensal,qtd_anos*12,aporte*-1)</f>
        <v>58643.83979894135</v>
      </c>
    </row>
    <row r="21" spans="1:4" ht="15.75" customHeight="1" thickBot="1" x14ac:dyDescent="0.35">
      <c r="B21" s="56" t="s">
        <v>2</v>
      </c>
      <c r="C21" s="57"/>
      <c r="D21" s="6">
        <f>patrimonio*rendimento_carteira</f>
        <v>586.43839798941349</v>
      </c>
    </row>
    <row r="22" spans="1:4" ht="15.75" thickBot="1" x14ac:dyDescent="0.3"/>
    <row r="23" spans="1:4" ht="30.75" x14ac:dyDescent="0.25">
      <c r="B23" s="41" t="s">
        <v>4</v>
      </c>
      <c r="C23" s="42"/>
      <c r="D23" s="23" t="s">
        <v>10</v>
      </c>
    </row>
    <row r="24" spans="1:4" ht="17.25" x14ac:dyDescent="0.3">
      <c r="A24" s="1">
        <v>2</v>
      </c>
      <c r="B24" s="24" t="s">
        <v>9</v>
      </c>
      <c r="C24" s="25">
        <f>FV($D$19,$A24*12,$D$17*-1)</f>
        <v>19059.339108351651</v>
      </c>
      <c r="D24" s="26">
        <f>$C24*rendimento_carteira</f>
        <v>190.59339108351651</v>
      </c>
    </row>
    <row r="25" spans="1:4" ht="17.25" x14ac:dyDescent="0.3">
      <c r="A25" s="1">
        <v>5</v>
      </c>
      <c r="B25" s="24" t="s">
        <v>8</v>
      </c>
      <c r="C25" s="25">
        <f t="shared" ref="C25:C28" si="0">FV($D$19,$A25*12,$D$17*-1)</f>
        <v>58643.83979894135</v>
      </c>
      <c r="D25" s="26">
        <f>$C25*rendimento_carteira</f>
        <v>586.43839798941349</v>
      </c>
    </row>
    <row r="26" spans="1:4" ht="17.25" x14ac:dyDescent="0.3">
      <c r="A26" s="1">
        <v>10</v>
      </c>
      <c r="B26" s="24" t="s">
        <v>7</v>
      </c>
      <c r="C26" s="25">
        <f t="shared" si="0"/>
        <v>170298.94877112054</v>
      </c>
      <c r="D26" s="26">
        <f>$C26*rendimento_carteira</f>
        <v>1702.9894877112056</v>
      </c>
    </row>
    <row r="27" spans="1:4" ht="17.25" x14ac:dyDescent="0.3">
      <c r="A27" s="1">
        <v>20</v>
      </c>
      <c r="B27" s="24" t="s">
        <v>6</v>
      </c>
      <c r="C27" s="25">
        <f t="shared" si="0"/>
        <v>787638.8800679564</v>
      </c>
      <c r="D27" s="26">
        <f>$C27*rendimento_carteira</f>
        <v>7876.3888006795642</v>
      </c>
    </row>
    <row r="28" spans="1:4" ht="18" thickBot="1" x14ac:dyDescent="0.35">
      <c r="A28" s="1">
        <v>30</v>
      </c>
      <c r="B28" s="27" t="s">
        <v>5</v>
      </c>
      <c r="C28" s="28">
        <f t="shared" si="0"/>
        <v>3025518.7585033001</v>
      </c>
      <c r="D28" s="29">
        <f>$C28*rendimento_carteira</f>
        <v>30255.187585033003</v>
      </c>
    </row>
    <row r="32" spans="1:4" x14ac:dyDescent="0.25">
      <c r="B32" s="20" t="s">
        <v>15</v>
      </c>
      <c r="C32" s="21" t="s">
        <v>20</v>
      </c>
      <c r="D32" s="22"/>
    </row>
    <row r="33" spans="2:4" ht="16.5" x14ac:dyDescent="0.25">
      <c r="B33" s="9" t="s">
        <v>33</v>
      </c>
      <c r="C33" s="10">
        <f>aporte</f>
        <v>700</v>
      </c>
      <c r="D33" s="11"/>
    </row>
    <row r="35" spans="2:4" x14ac:dyDescent="0.25">
      <c r="B35" s="12" t="s">
        <v>17</v>
      </c>
      <c r="C35" s="12" t="s">
        <v>18</v>
      </c>
      <c r="D35" s="12" t="s">
        <v>19</v>
      </c>
    </row>
    <row r="36" spans="2:4" x14ac:dyDescent="0.25">
      <c r="B36" s="14" t="s">
        <v>22</v>
      </c>
      <c r="C36" s="15">
        <f>VLOOKUP($C$32&amp;"-"&amp;B36,Chave!$A:$D,4,FALSE)</f>
        <v>0.5</v>
      </c>
      <c r="D36" s="16">
        <f>C36*$C$33</f>
        <v>350</v>
      </c>
    </row>
    <row r="37" spans="2:4" x14ac:dyDescent="0.25">
      <c r="B37" s="17" t="s">
        <v>23</v>
      </c>
      <c r="C37" s="18">
        <f>VLOOKUP($C$32&amp;"-"&amp;B37,Chave!$A:$D,4,FALSE)</f>
        <v>0.1</v>
      </c>
      <c r="D37" s="19">
        <f t="shared" ref="D37:D41" si="1">C37*$C$33</f>
        <v>70</v>
      </c>
    </row>
    <row r="38" spans="2:4" x14ac:dyDescent="0.25">
      <c r="B38" s="17" t="s">
        <v>24</v>
      </c>
      <c r="C38" s="18">
        <f>VLOOKUP($C$32&amp;"-"&amp;B38,Chave!$A:$D,4,FALSE)</f>
        <v>0.05</v>
      </c>
      <c r="D38" s="19">
        <f t="shared" si="1"/>
        <v>35</v>
      </c>
    </row>
    <row r="39" spans="2:4" x14ac:dyDescent="0.25">
      <c r="B39" s="17" t="s">
        <v>25</v>
      </c>
      <c r="C39" s="18">
        <f>VLOOKUP($C$32&amp;"-"&amp;B39,Chave!$A:$D,4,FALSE)</f>
        <v>0.05</v>
      </c>
      <c r="D39" s="19">
        <f t="shared" si="1"/>
        <v>35</v>
      </c>
    </row>
    <row r="40" spans="2:4" x14ac:dyDescent="0.25">
      <c r="B40" s="17" t="s">
        <v>26</v>
      </c>
      <c r="C40" s="18">
        <f>VLOOKUP($C$32&amp;"-"&amp;B40,Chave!$A:$D,4,FALSE)</f>
        <v>0.2</v>
      </c>
      <c r="D40" s="19">
        <f t="shared" si="1"/>
        <v>140</v>
      </c>
    </row>
    <row r="41" spans="2:4" x14ac:dyDescent="0.25">
      <c r="B41" s="17" t="s">
        <v>27</v>
      </c>
      <c r="C41" s="18">
        <f>VLOOKUP($C$32&amp;"-"&amp;B41,Chave!$A:$D,4,FALSE)</f>
        <v>0.1</v>
      </c>
      <c r="D41" s="19">
        <f t="shared" si="1"/>
        <v>70</v>
      </c>
    </row>
    <row r="42" spans="2:4" x14ac:dyDescent="0.25">
      <c r="D42" s="13">
        <f>SUM(D36:D41)</f>
        <v>700</v>
      </c>
    </row>
  </sheetData>
  <mergeCells count="11">
    <mergeCell ref="B23:C23"/>
    <mergeCell ref="B12:C12"/>
    <mergeCell ref="B13:C13"/>
    <mergeCell ref="B14:C14"/>
    <mergeCell ref="B11:D11"/>
    <mergeCell ref="B16:D16"/>
    <mergeCell ref="B17:C17"/>
    <mergeCell ref="B18:C18"/>
    <mergeCell ref="B19:C19"/>
    <mergeCell ref="B20:C20"/>
    <mergeCell ref="B21:C21"/>
  </mergeCells>
  <dataValidations count="1">
    <dataValidation type="list" allowBlank="1" showInputMessage="1" showErrorMessage="1" sqref="C32">
      <formula1>"AGRESSIVO, MODERADO,CONSERVADOR"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1"/>
  <sheetViews>
    <sheetView showGridLines="0" workbookViewId="0">
      <selection activeCell="A22" sqref="A22"/>
    </sheetView>
  </sheetViews>
  <sheetFormatPr defaultColWidth="0" defaultRowHeight="15" x14ac:dyDescent="0.25"/>
  <cols>
    <col min="1" max="1" width="33.85546875" bestFit="1" customWidth="1"/>
    <col min="2" max="2" width="16" bestFit="1" customWidth="1"/>
    <col min="3" max="3" width="19" bestFit="1" customWidth="1"/>
    <col min="4" max="4" width="13.42578125" bestFit="1" customWidth="1"/>
    <col min="5" max="5" width="9.140625" customWidth="1"/>
    <col min="6" max="16384" width="9.140625" hidden="1"/>
  </cols>
  <sheetData>
    <row r="2" spans="1:4" x14ac:dyDescent="0.25">
      <c r="A2" s="30" t="s">
        <v>29</v>
      </c>
      <c r="B2" s="30" t="s">
        <v>15</v>
      </c>
      <c r="C2" s="30" t="s">
        <v>28</v>
      </c>
      <c r="D2" s="30" t="s">
        <v>30</v>
      </c>
    </row>
    <row r="3" spans="1:4" x14ac:dyDescent="0.25">
      <c r="A3" s="31" t="str">
        <f>B3&amp;"-"&amp;C3</f>
        <v>CONSERVADOR-PAPEL</v>
      </c>
      <c r="B3" s="31" t="s">
        <v>21</v>
      </c>
      <c r="C3" s="32" t="s">
        <v>22</v>
      </c>
      <c r="D3" s="33">
        <v>0.3</v>
      </c>
    </row>
    <row r="4" spans="1:4" x14ac:dyDescent="0.25">
      <c r="A4" s="31" t="str">
        <f t="shared" ref="A4:A20" si="0">B4&amp;"-"&amp;C4</f>
        <v>CONSERVADOR-TIJOLO</v>
      </c>
      <c r="B4" s="31" t="s">
        <v>21</v>
      </c>
      <c r="C4" s="32" t="s">
        <v>23</v>
      </c>
      <c r="D4" s="33">
        <v>0.5</v>
      </c>
    </row>
    <row r="5" spans="1:4" x14ac:dyDescent="0.25">
      <c r="A5" s="31" t="str">
        <f t="shared" si="0"/>
        <v>CONSERVADOR-HÍBRIDOS</v>
      </c>
      <c r="B5" s="31" t="s">
        <v>21</v>
      </c>
      <c r="C5" s="32" t="s">
        <v>24</v>
      </c>
      <c r="D5" s="33">
        <v>0.1</v>
      </c>
    </row>
    <row r="6" spans="1:4" x14ac:dyDescent="0.25">
      <c r="A6" s="31" t="str">
        <f t="shared" si="0"/>
        <v>CONSERVADOR-FOFs</v>
      </c>
      <c r="B6" s="31" t="s">
        <v>21</v>
      </c>
      <c r="C6" s="32" t="s">
        <v>25</v>
      </c>
      <c r="D6" s="33">
        <v>0.1</v>
      </c>
    </row>
    <row r="7" spans="1:4" x14ac:dyDescent="0.25">
      <c r="A7" s="31" t="str">
        <f t="shared" si="0"/>
        <v>CONSERVADOR-DESENVOLVIMENTO</v>
      </c>
      <c r="B7" s="31" t="s">
        <v>21</v>
      </c>
      <c r="C7" s="32" t="s">
        <v>26</v>
      </c>
      <c r="D7" s="33">
        <v>0</v>
      </c>
    </row>
    <row r="8" spans="1:4" ht="15.75" thickBot="1" x14ac:dyDescent="0.3">
      <c r="A8" s="34" t="str">
        <f t="shared" si="0"/>
        <v>CONSERVADOR-HOTELARIAS</v>
      </c>
      <c r="B8" s="34" t="s">
        <v>21</v>
      </c>
      <c r="C8" s="35" t="s">
        <v>27</v>
      </c>
      <c r="D8" s="36">
        <v>0</v>
      </c>
    </row>
    <row r="9" spans="1:4" x14ac:dyDescent="0.25">
      <c r="A9" s="31" t="str">
        <f t="shared" si="0"/>
        <v>MODERADO-PAPEL</v>
      </c>
      <c r="B9" s="31" t="s">
        <v>16</v>
      </c>
      <c r="C9" s="32" t="s">
        <v>22</v>
      </c>
      <c r="D9" s="33">
        <v>0.32</v>
      </c>
    </row>
    <row r="10" spans="1:4" x14ac:dyDescent="0.25">
      <c r="A10" s="31" t="str">
        <f t="shared" si="0"/>
        <v>MODERADO-TIJOLO</v>
      </c>
      <c r="B10" s="31" t="s">
        <v>16</v>
      </c>
      <c r="C10" s="32" t="s">
        <v>23</v>
      </c>
      <c r="D10" s="33">
        <v>0.35</v>
      </c>
    </row>
    <row r="11" spans="1:4" x14ac:dyDescent="0.25">
      <c r="A11" s="31" t="str">
        <f t="shared" si="0"/>
        <v>MODERADO-HÍBRIDOS</v>
      </c>
      <c r="B11" s="31" t="s">
        <v>16</v>
      </c>
      <c r="C11" s="32" t="s">
        <v>24</v>
      </c>
      <c r="D11" s="33">
        <v>0.08</v>
      </c>
    </row>
    <row r="12" spans="1:4" x14ac:dyDescent="0.25">
      <c r="A12" s="31" t="str">
        <f t="shared" si="0"/>
        <v>MODERADO-FOFs</v>
      </c>
      <c r="B12" s="31" t="s">
        <v>16</v>
      </c>
      <c r="C12" s="32" t="s">
        <v>25</v>
      </c>
      <c r="D12" s="33">
        <v>0.05</v>
      </c>
    </row>
    <row r="13" spans="1:4" x14ac:dyDescent="0.25">
      <c r="A13" s="31" t="str">
        <f t="shared" si="0"/>
        <v>MODERADO-DESENVOLVIMENTO</v>
      </c>
      <c r="B13" s="31" t="s">
        <v>16</v>
      </c>
      <c r="C13" s="32" t="s">
        <v>26</v>
      </c>
      <c r="D13" s="33">
        <v>0.1</v>
      </c>
    </row>
    <row r="14" spans="1:4" ht="15.75" thickBot="1" x14ac:dyDescent="0.3">
      <c r="A14" s="34" t="str">
        <f t="shared" si="0"/>
        <v>MODERADO-HOTELARIAS</v>
      </c>
      <c r="B14" s="34" t="s">
        <v>16</v>
      </c>
      <c r="C14" s="35" t="s">
        <v>27</v>
      </c>
      <c r="D14" s="36">
        <v>0.1</v>
      </c>
    </row>
    <row r="15" spans="1:4" x14ac:dyDescent="0.25">
      <c r="A15" s="31" t="str">
        <f t="shared" si="0"/>
        <v>AGRESSIVO-PAPEL</v>
      </c>
      <c r="B15" s="31" t="s">
        <v>20</v>
      </c>
      <c r="C15" s="32" t="s">
        <v>22</v>
      </c>
      <c r="D15" s="33">
        <v>0.5</v>
      </c>
    </row>
    <row r="16" spans="1:4" x14ac:dyDescent="0.25">
      <c r="A16" s="31" t="str">
        <f t="shared" si="0"/>
        <v>AGRESSIVO-TIJOLO</v>
      </c>
      <c r="B16" s="31" t="s">
        <v>20</v>
      </c>
      <c r="C16" s="32" t="s">
        <v>23</v>
      </c>
      <c r="D16" s="33">
        <v>0.1</v>
      </c>
    </row>
    <row r="17" spans="1:4" x14ac:dyDescent="0.25">
      <c r="A17" s="31" t="str">
        <f t="shared" si="0"/>
        <v>AGRESSIVO-HÍBRIDOS</v>
      </c>
      <c r="B17" s="31" t="s">
        <v>20</v>
      </c>
      <c r="C17" s="32" t="s">
        <v>24</v>
      </c>
      <c r="D17" s="33">
        <v>0.05</v>
      </c>
    </row>
    <row r="18" spans="1:4" x14ac:dyDescent="0.25">
      <c r="A18" s="31" t="str">
        <f t="shared" si="0"/>
        <v>AGRESSIVO-FOFs</v>
      </c>
      <c r="B18" s="31" t="s">
        <v>20</v>
      </c>
      <c r="C18" s="32" t="s">
        <v>25</v>
      </c>
      <c r="D18" s="33">
        <v>0.05</v>
      </c>
    </row>
    <row r="19" spans="1:4" x14ac:dyDescent="0.25">
      <c r="A19" s="31" t="str">
        <f t="shared" si="0"/>
        <v>AGRESSIVO-DESENVOLVIMENTO</v>
      </c>
      <c r="B19" s="31" t="s">
        <v>20</v>
      </c>
      <c r="C19" s="32" t="s">
        <v>26</v>
      </c>
      <c r="D19" s="33">
        <v>0.2</v>
      </c>
    </row>
    <row r="20" spans="1:4" ht="15.75" thickBot="1" x14ac:dyDescent="0.3">
      <c r="A20" s="37" t="str">
        <f t="shared" si="0"/>
        <v>AGRESSIVO-HOTELARIAS</v>
      </c>
      <c r="B20" s="37" t="s">
        <v>20</v>
      </c>
      <c r="C20" s="38" t="s">
        <v>27</v>
      </c>
      <c r="D20" s="39">
        <v>0.1</v>
      </c>
    </row>
    <row r="21" spans="1:4" ht="15.7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API</vt:lpstr>
      <vt:lpstr>Chave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2025-05-26T17:48:47Z</dcterms:created>
  <dcterms:modified xsi:type="dcterms:W3CDTF">2025-06-01T01:19:35Z</dcterms:modified>
</cp:coreProperties>
</file>